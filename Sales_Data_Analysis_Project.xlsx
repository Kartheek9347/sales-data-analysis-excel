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824" windowHeight="9720" firstSheet="2" activeTab="5"/>
  </bookViews>
  <sheets>
    <sheet name="Sales_Data_Table" sheetId="1" r:id="rId1"/>
    <sheet name="Sales_by_Region" sheetId="5" r:id="rId2"/>
    <sheet name="Sales_by_Category" sheetId="6" r:id="rId3"/>
    <sheet name="Salesperson_Performance" sheetId="7" r:id="rId4"/>
    <sheet name="Dashboard" sheetId="8" r:id="rId5"/>
    <sheet name="MIS_Report" sheetId="10" r:id="rId6"/>
  </sheets>
  <externalReferences>
    <externalReference r:id="rId8"/>
  </externalReferenc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<sst xmlns="http://schemas.openxmlformats.org/spreadsheetml/2006/main" count="301" uniqueCount="52">
  <si>
    <t>Date</t>
  </si>
  <si>
    <t>Order_ID</t>
  </si>
  <si>
    <t>Product</t>
  </si>
  <si>
    <t>Category</t>
  </si>
  <si>
    <t>Region</t>
  </si>
  <si>
    <t>Salesperson</t>
  </si>
  <si>
    <t>Units_Sold</t>
  </si>
  <si>
    <t>Unit_Price</t>
  </si>
  <si>
    <t>Revenue</t>
  </si>
  <si>
    <t>24-01-2025</t>
  </si>
  <si>
    <t>Headphones</t>
  </si>
  <si>
    <t>Electronics</t>
  </si>
  <si>
    <t>South</t>
  </si>
  <si>
    <t>Priya</t>
  </si>
  <si>
    <t>11-01-2025</t>
  </si>
  <si>
    <t>Laptop</t>
  </si>
  <si>
    <t>North</t>
  </si>
  <si>
    <t>Karan</t>
  </si>
  <si>
    <t>16-01-2025</t>
  </si>
  <si>
    <t>East</t>
  </si>
  <si>
    <t>Simran</t>
  </si>
  <si>
    <t>12-01-2025</t>
  </si>
  <si>
    <t>West</t>
  </si>
  <si>
    <t>Neha</t>
  </si>
  <si>
    <t>06-01-2025</t>
  </si>
  <si>
    <t>05-01-2025</t>
  </si>
  <si>
    <t>14-01-2025</t>
  </si>
  <si>
    <t>Aman</t>
  </si>
  <si>
    <t>21-01-2025</t>
  </si>
  <si>
    <t>Phone</t>
  </si>
  <si>
    <t>26-01-2025</t>
  </si>
  <si>
    <t>Raj</t>
  </si>
  <si>
    <t>22-01-2025</t>
  </si>
  <si>
    <t>17-01-2025</t>
  </si>
  <si>
    <t>Chair</t>
  </si>
  <si>
    <t>Furniture</t>
  </si>
  <si>
    <t>07-01-2025</t>
  </si>
  <si>
    <t>Table</t>
  </si>
  <si>
    <t>30-01-2025</t>
  </si>
  <si>
    <t>04-01-2025</t>
  </si>
  <si>
    <t>02-01-2025</t>
  </si>
  <si>
    <t>25-01-2025</t>
  </si>
  <si>
    <t>18-01-2025</t>
  </si>
  <si>
    <t>09-01-2025</t>
  </si>
  <si>
    <t>28-01-2025</t>
  </si>
  <si>
    <t>31-01-2025</t>
  </si>
  <si>
    <t>13-01-2025</t>
  </si>
  <si>
    <t>29-01-2025</t>
  </si>
  <si>
    <t>20-01-2025</t>
  </si>
  <si>
    <t>08-01-2025</t>
  </si>
  <si>
    <t>Sum of Revenue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</si>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</sst>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[sales_data_analysis_project.xlsx]Sales_by_Region!Sales_by_Region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Sales_by_Region!$B$3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Sales_by_Region!$A$4:$A$8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Sales_by_Region!$B$4:$B$8</c:f>
              <c:numCache>
                <c:formatCode>General</c:formatCode>
                <c:ptCount val="4"/>
                <c:pt idx="0">
                  <c:v>1439000</c:v>
                </c:pt>
                <c:pt idx="1">
                  <c:v>1065000</c:v>
                </c:pt>
                <c:pt idx="2">
                  <c:v>644000</c:v>
                </c:pt>
                <c:pt idx="3">
                  <c:v>298000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387894352"/>
        <c:axId val="113209476"/>
      </c:barChart>
      <c:catAx>
        <c:axId val="38789435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209476"/>
        <c:crosses val="autoZero"/>
        <c:auto val="1"/>
        <c:lblAlgn val="ctr"/>
        <c:lblOffset val="100"/>
        <c:noMultiLvlLbl val="0"/>
      </c:catAx>
      <c:valAx>
        <c:axId val="1132094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789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[sales_data_analysis_project.xlsx]Sales_by_Category!Sales_by_Category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plotArea>
      <c:layout/>
      <c:pie3DChart>
        <c:varyColors val="1"/>
        <c:ser>
          <c:idx val="0"/>
          <c:order val="0"/>
          <c:tx>
            <c:strRef>
              <c:f>Sales_by_Category!$B$3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delete val="1"/>
          </c:dLbls>
          <c:cat>
            <c:strRef>
              <c:f>Sales_by_Category!$A$4:$A$6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Sales_by_Category!$B$4:$B$6</c:f>
              <c:numCache>
                <c:formatCode>General</c:formatCode>
                <c:ptCount val="2"/>
                <c:pt idx="0">
                  <c:v>3218000</c:v>
                </c:pt>
                <c:pt idx="1">
                  <c:v>228000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[sales_data_analysis_project.xlsx]Salesperson_Performance!Salesperson_Performance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Salesperson_Performance!$B$3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Salesperson_Performance!$A$4:$A$10</c:f>
              <c:strCache>
                <c:ptCount val="6"/>
                <c:pt idx="0">
                  <c:v>Aman</c:v>
                </c:pt>
                <c:pt idx="1">
                  <c:v>Karan</c:v>
                </c:pt>
                <c:pt idx="2">
                  <c:v>Neha</c:v>
                </c:pt>
                <c:pt idx="3">
                  <c:v>Priya</c:v>
                </c:pt>
                <c:pt idx="4">
                  <c:v>Raj</c:v>
                </c:pt>
                <c:pt idx="5">
                  <c:v>Simran</c:v>
                </c:pt>
              </c:strCache>
            </c:strRef>
          </c:cat>
          <c:val>
            <c:numRef>
              <c:f>Salesperson_Performance!$B$4:$B$10</c:f>
              <c:numCache>
                <c:formatCode>General</c:formatCode>
                <c:ptCount val="6"/>
                <c:pt idx="0">
                  <c:v>296000</c:v>
                </c:pt>
                <c:pt idx="1">
                  <c:v>336000</c:v>
                </c:pt>
                <c:pt idx="2">
                  <c:v>310000</c:v>
                </c:pt>
                <c:pt idx="3">
                  <c:v>1069000</c:v>
                </c:pt>
                <c:pt idx="4">
                  <c:v>467000</c:v>
                </c:pt>
                <c:pt idx="5">
                  <c:v>968000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24035077"/>
        <c:axId val="536806123"/>
      </c:barChart>
      <c:catAx>
        <c:axId val="2403507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6806123"/>
        <c:crosses val="autoZero"/>
        <c:auto val="1"/>
        <c:lblAlgn val="ctr"/>
        <c:lblOffset val="100"/>
        <c:noMultiLvlLbl val="0"/>
      </c:catAx>
      <c:valAx>
        <c:axId val="5368061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03507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596900</xdr:colOff>
      <xdr:row>8</xdr:row>
      <xdr:rowOff>10160</xdr:rowOff>
    </xdr:from>
    <xdr:to>
      <xdr:col>11</xdr:col>
      <xdr:colOff>546100</xdr:colOff>
      <xdr:row>23</xdr:row>
      <xdr:rowOff>10160</xdr:rowOff>
    </xdr:to>
    <xdr:graphicFrame>
      <xdr:nvGraphicFramePr>
        <xdr:cNvPr id="2" name="Chart 1"/>
        <xdr:cNvGraphicFramePr/>
      </xdr:nvGraphicFramePr>
      <xdr:xfrm>
        <a:off x="3111500" y="1473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596900</xdr:colOff>
      <xdr:row>8</xdr:row>
      <xdr:rowOff>10160</xdr:rowOff>
    </xdr:from>
    <xdr:to>
      <xdr:col>11</xdr:col>
      <xdr:colOff>546100</xdr:colOff>
      <xdr:row>23</xdr:row>
      <xdr:rowOff>10160</xdr:rowOff>
    </xdr:to>
    <xdr:graphicFrame>
      <xdr:nvGraphicFramePr>
        <xdr:cNvPr id="2" name="Chart 1"/>
        <xdr:cNvGraphicFramePr/>
      </xdr:nvGraphicFramePr>
      <xdr:xfrm>
        <a:off x="3111500" y="1473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444500</xdr:colOff>
      <xdr:row>8</xdr:row>
      <xdr:rowOff>10160</xdr:rowOff>
    </xdr:from>
    <xdr:to>
      <xdr:col>11</xdr:col>
      <xdr:colOff>393700</xdr:colOff>
      <xdr:row>23</xdr:row>
      <xdr:rowOff>10160</xdr:rowOff>
    </xdr:to>
    <xdr:graphicFrame>
      <xdr:nvGraphicFramePr>
        <xdr:cNvPr id="2" name="Chart 1"/>
        <xdr:cNvGraphicFramePr/>
      </xdr:nvGraphicFramePr>
      <xdr:xfrm>
        <a:off x="3111500" y="1473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s_Dat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les_Data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90.4266435185" refreshedBy="malla" recordCount="50">
  <cacheSource type="worksheet">
    <worksheetSource name="Sales_Data_Table"/>
  </cacheSource>
  <cacheFields count="9">
    <cacheField name="Date" numFmtId="0">
      <sharedItems count="24">
        <s v="24-01-2025"/>
        <s v="11-01-2025"/>
        <s v="16-01-2025"/>
        <s v="12-01-2025"/>
        <s v="06-01-2025"/>
        <s v="05-01-2025"/>
        <s v="14-01-2025"/>
        <s v="21-01-2025"/>
        <s v="26-01-2025"/>
        <s v="22-01-2025"/>
        <s v="17-01-2025"/>
        <s v="07-01-2025"/>
        <s v="30-01-2025"/>
        <s v="04-01-2025"/>
        <s v="02-01-2025"/>
        <s v="25-01-2025"/>
        <s v="18-01-2025"/>
        <s v="09-01-2025"/>
        <s v="28-01-2025"/>
        <s v="31-01-2025"/>
        <s v="13-01-2025"/>
        <s v="29-01-2025"/>
        <s v="20-01-2025"/>
        <s v="08-01-2025"/>
      </sharedItems>
    </cacheField>
    <cacheField name="Order_ID" numFmtId="0">
      <sharedItems containsSemiMixedTypes="0" containsString="0" containsNumber="1" containsInteger="1" minValue="1001" maxValue="1050" count="5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</sharedItems>
    </cacheField>
    <cacheField name="Product" numFmtId="0">
      <sharedItems count="5">
        <s v="Headphones"/>
        <s v="Laptop"/>
        <s v="Phone"/>
        <s v="Chair"/>
        <s v="Table"/>
      </sharedItems>
    </cacheField>
    <cacheField name="Category" numFmtId="0">
      <sharedItems count="2">
        <s v="Electronics"/>
        <s v="Furniture"/>
      </sharedItems>
    </cacheField>
    <cacheField name="Region" numFmtId="0">
      <sharedItems count="4">
        <s v="South"/>
        <s v="North"/>
        <s v="East"/>
        <s v="West"/>
      </sharedItems>
    </cacheField>
    <cacheField name="Salesperson" numFmtId="0">
      <sharedItems count="6">
        <s v="Priya"/>
        <s v="Karan"/>
        <s v="Simran"/>
        <s v="Neha"/>
        <s v="Aman"/>
        <s v="Raj"/>
      </sharedItems>
    </cacheField>
    <cacheField name="Units_Sold" numFmtId="0">
      <sharedItems containsSemiMixedTypes="0" containsString="0" containsNumber="1" containsInteger="1" minValue="1" maxValue="6" count="6">
        <n v="2"/>
        <n v="3"/>
        <n v="4"/>
        <n v="5"/>
        <n v="1"/>
        <n v="6"/>
      </sharedItems>
    </cacheField>
    <cacheField name="Unit_Price" numFmtId="0">
      <sharedItems containsSemiMixedTypes="0" containsString="0" containsNumber="1" containsInteger="1" minValue="3000" maxValue="50000" count="5">
        <n v="4000"/>
        <n v="50000"/>
        <n v="20000"/>
        <n v="3000"/>
        <n v="8000"/>
      </sharedItems>
    </cacheField>
    <cacheField name="Revenue" numFmtId="0">
      <sharedItems containsSemiMixedTypes="0" containsString="0" containsNumber="1" containsInteger="1" minValue="4000" maxValue="300000" count="18">
        <n v="8000"/>
        <n v="100000"/>
        <n v="150000"/>
        <n v="16000"/>
        <n v="200000"/>
        <n v="12000"/>
        <n v="20000"/>
        <n v="4000"/>
        <n v="300000"/>
        <n v="24000"/>
        <n v="18000"/>
        <n v="48000"/>
        <n v="250000"/>
        <n v="80000"/>
        <n v="50000"/>
        <n v="60000"/>
        <n v="9000"/>
        <n v="400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0"/>
    <x v="0"/>
    <x v="0"/>
    <x v="0"/>
    <x v="0"/>
    <x v="0"/>
    <x v="0"/>
  </r>
  <r>
    <x v="1"/>
    <x v="1"/>
    <x v="1"/>
    <x v="0"/>
    <x v="1"/>
    <x v="1"/>
    <x v="0"/>
    <x v="1"/>
    <x v="1"/>
  </r>
  <r>
    <x v="2"/>
    <x v="2"/>
    <x v="1"/>
    <x v="0"/>
    <x v="2"/>
    <x v="2"/>
    <x v="1"/>
    <x v="1"/>
    <x v="2"/>
  </r>
  <r>
    <x v="3"/>
    <x v="3"/>
    <x v="0"/>
    <x v="0"/>
    <x v="3"/>
    <x v="3"/>
    <x v="2"/>
    <x v="0"/>
    <x v="3"/>
  </r>
  <r>
    <x v="4"/>
    <x v="4"/>
    <x v="1"/>
    <x v="0"/>
    <x v="0"/>
    <x v="2"/>
    <x v="2"/>
    <x v="1"/>
    <x v="4"/>
  </r>
  <r>
    <x v="5"/>
    <x v="5"/>
    <x v="1"/>
    <x v="0"/>
    <x v="2"/>
    <x v="2"/>
    <x v="1"/>
    <x v="1"/>
    <x v="2"/>
  </r>
  <r>
    <x v="6"/>
    <x v="6"/>
    <x v="0"/>
    <x v="0"/>
    <x v="0"/>
    <x v="4"/>
    <x v="1"/>
    <x v="0"/>
    <x v="5"/>
  </r>
  <r>
    <x v="0"/>
    <x v="7"/>
    <x v="0"/>
    <x v="0"/>
    <x v="2"/>
    <x v="1"/>
    <x v="3"/>
    <x v="0"/>
    <x v="6"/>
  </r>
  <r>
    <x v="2"/>
    <x v="8"/>
    <x v="0"/>
    <x v="0"/>
    <x v="2"/>
    <x v="0"/>
    <x v="4"/>
    <x v="0"/>
    <x v="7"/>
  </r>
  <r>
    <x v="7"/>
    <x v="9"/>
    <x v="1"/>
    <x v="0"/>
    <x v="1"/>
    <x v="0"/>
    <x v="5"/>
    <x v="1"/>
    <x v="8"/>
  </r>
  <r>
    <x v="0"/>
    <x v="10"/>
    <x v="2"/>
    <x v="0"/>
    <x v="2"/>
    <x v="0"/>
    <x v="4"/>
    <x v="2"/>
    <x v="6"/>
  </r>
  <r>
    <x v="8"/>
    <x v="11"/>
    <x v="2"/>
    <x v="0"/>
    <x v="1"/>
    <x v="5"/>
    <x v="3"/>
    <x v="2"/>
    <x v="1"/>
  </r>
  <r>
    <x v="9"/>
    <x v="12"/>
    <x v="2"/>
    <x v="0"/>
    <x v="1"/>
    <x v="2"/>
    <x v="4"/>
    <x v="2"/>
    <x v="6"/>
  </r>
  <r>
    <x v="10"/>
    <x v="13"/>
    <x v="1"/>
    <x v="0"/>
    <x v="3"/>
    <x v="2"/>
    <x v="1"/>
    <x v="1"/>
    <x v="2"/>
  </r>
  <r>
    <x v="5"/>
    <x v="14"/>
    <x v="0"/>
    <x v="0"/>
    <x v="2"/>
    <x v="0"/>
    <x v="5"/>
    <x v="0"/>
    <x v="9"/>
  </r>
  <r>
    <x v="0"/>
    <x v="15"/>
    <x v="3"/>
    <x v="1"/>
    <x v="2"/>
    <x v="1"/>
    <x v="5"/>
    <x v="3"/>
    <x v="10"/>
  </r>
  <r>
    <x v="11"/>
    <x v="16"/>
    <x v="2"/>
    <x v="0"/>
    <x v="2"/>
    <x v="0"/>
    <x v="3"/>
    <x v="2"/>
    <x v="1"/>
  </r>
  <r>
    <x v="8"/>
    <x v="17"/>
    <x v="4"/>
    <x v="1"/>
    <x v="0"/>
    <x v="4"/>
    <x v="5"/>
    <x v="4"/>
    <x v="11"/>
  </r>
  <r>
    <x v="12"/>
    <x v="18"/>
    <x v="4"/>
    <x v="1"/>
    <x v="0"/>
    <x v="5"/>
    <x v="0"/>
    <x v="4"/>
    <x v="3"/>
  </r>
  <r>
    <x v="13"/>
    <x v="19"/>
    <x v="0"/>
    <x v="0"/>
    <x v="1"/>
    <x v="2"/>
    <x v="4"/>
    <x v="0"/>
    <x v="7"/>
  </r>
  <r>
    <x v="11"/>
    <x v="20"/>
    <x v="1"/>
    <x v="0"/>
    <x v="1"/>
    <x v="5"/>
    <x v="3"/>
    <x v="1"/>
    <x v="12"/>
  </r>
  <r>
    <x v="14"/>
    <x v="21"/>
    <x v="0"/>
    <x v="0"/>
    <x v="3"/>
    <x v="5"/>
    <x v="0"/>
    <x v="0"/>
    <x v="0"/>
  </r>
  <r>
    <x v="8"/>
    <x v="22"/>
    <x v="2"/>
    <x v="0"/>
    <x v="2"/>
    <x v="0"/>
    <x v="2"/>
    <x v="2"/>
    <x v="13"/>
  </r>
  <r>
    <x v="11"/>
    <x v="23"/>
    <x v="1"/>
    <x v="0"/>
    <x v="2"/>
    <x v="3"/>
    <x v="4"/>
    <x v="1"/>
    <x v="14"/>
  </r>
  <r>
    <x v="4"/>
    <x v="24"/>
    <x v="4"/>
    <x v="1"/>
    <x v="1"/>
    <x v="5"/>
    <x v="4"/>
    <x v="4"/>
    <x v="0"/>
  </r>
  <r>
    <x v="2"/>
    <x v="25"/>
    <x v="4"/>
    <x v="1"/>
    <x v="1"/>
    <x v="0"/>
    <x v="0"/>
    <x v="4"/>
    <x v="3"/>
  </r>
  <r>
    <x v="15"/>
    <x v="26"/>
    <x v="2"/>
    <x v="0"/>
    <x v="3"/>
    <x v="4"/>
    <x v="1"/>
    <x v="2"/>
    <x v="15"/>
  </r>
  <r>
    <x v="0"/>
    <x v="27"/>
    <x v="0"/>
    <x v="0"/>
    <x v="2"/>
    <x v="2"/>
    <x v="1"/>
    <x v="0"/>
    <x v="5"/>
  </r>
  <r>
    <x v="16"/>
    <x v="28"/>
    <x v="0"/>
    <x v="0"/>
    <x v="0"/>
    <x v="2"/>
    <x v="3"/>
    <x v="0"/>
    <x v="6"/>
  </r>
  <r>
    <x v="0"/>
    <x v="29"/>
    <x v="0"/>
    <x v="0"/>
    <x v="0"/>
    <x v="4"/>
    <x v="1"/>
    <x v="0"/>
    <x v="5"/>
  </r>
  <r>
    <x v="17"/>
    <x v="30"/>
    <x v="4"/>
    <x v="1"/>
    <x v="0"/>
    <x v="1"/>
    <x v="4"/>
    <x v="4"/>
    <x v="0"/>
  </r>
  <r>
    <x v="12"/>
    <x v="31"/>
    <x v="1"/>
    <x v="0"/>
    <x v="2"/>
    <x v="0"/>
    <x v="5"/>
    <x v="1"/>
    <x v="8"/>
  </r>
  <r>
    <x v="18"/>
    <x v="32"/>
    <x v="0"/>
    <x v="0"/>
    <x v="3"/>
    <x v="4"/>
    <x v="4"/>
    <x v="0"/>
    <x v="7"/>
  </r>
  <r>
    <x v="15"/>
    <x v="33"/>
    <x v="3"/>
    <x v="1"/>
    <x v="1"/>
    <x v="0"/>
    <x v="1"/>
    <x v="3"/>
    <x v="16"/>
  </r>
  <r>
    <x v="19"/>
    <x v="34"/>
    <x v="2"/>
    <x v="0"/>
    <x v="3"/>
    <x v="4"/>
    <x v="1"/>
    <x v="2"/>
    <x v="15"/>
  </r>
  <r>
    <x v="18"/>
    <x v="35"/>
    <x v="0"/>
    <x v="0"/>
    <x v="1"/>
    <x v="0"/>
    <x v="0"/>
    <x v="0"/>
    <x v="0"/>
  </r>
  <r>
    <x v="20"/>
    <x v="36"/>
    <x v="4"/>
    <x v="1"/>
    <x v="0"/>
    <x v="5"/>
    <x v="4"/>
    <x v="4"/>
    <x v="0"/>
  </r>
  <r>
    <x v="8"/>
    <x v="37"/>
    <x v="2"/>
    <x v="0"/>
    <x v="2"/>
    <x v="5"/>
    <x v="4"/>
    <x v="2"/>
    <x v="6"/>
  </r>
  <r>
    <x v="21"/>
    <x v="38"/>
    <x v="4"/>
    <x v="1"/>
    <x v="2"/>
    <x v="5"/>
    <x v="5"/>
    <x v="4"/>
    <x v="11"/>
  </r>
  <r>
    <x v="22"/>
    <x v="39"/>
    <x v="1"/>
    <x v="0"/>
    <x v="1"/>
    <x v="2"/>
    <x v="3"/>
    <x v="1"/>
    <x v="12"/>
  </r>
  <r>
    <x v="7"/>
    <x v="40"/>
    <x v="1"/>
    <x v="0"/>
    <x v="2"/>
    <x v="1"/>
    <x v="4"/>
    <x v="1"/>
    <x v="14"/>
  </r>
  <r>
    <x v="5"/>
    <x v="41"/>
    <x v="4"/>
    <x v="1"/>
    <x v="2"/>
    <x v="3"/>
    <x v="3"/>
    <x v="4"/>
    <x v="17"/>
  </r>
  <r>
    <x v="10"/>
    <x v="42"/>
    <x v="1"/>
    <x v="0"/>
    <x v="2"/>
    <x v="1"/>
    <x v="0"/>
    <x v="1"/>
    <x v="1"/>
  </r>
  <r>
    <x v="20"/>
    <x v="43"/>
    <x v="1"/>
    <x v="0"/>
    <x v="2"/>
    <x v="0"/>
    <x v="2"/>
    <x v="1"/>
    <x v="4"/>
  </r>
  <r>
    <x v="2"/>
    <x v="44"/>
    <x v="0"/>
    <x v="0"/>
    <x v="0"/>
    <x v="2"/>
    <x v="1"/>
    <x v="0"/>
    <x v="5"/>
  </r>
  <r>
    <x v="23"/>
    <x v="45"/>
    <x v="2"/>
    <x v="0"/>
    <x v="2"/>
    <x v="1"/>
    <x v="0"/>
    <x v="2"/>
    <x v="17"/>
  </r>
  <r>
    <x v="20"/>
    <x v="46"/>
    <x v="2"/>
    <x v="0"/>
    <x v="0"/>
    <x v="4"/>
    <x v="3"/>
    <x v="2"/>
    <x v="1"/>
  </r>
  <r>
    <x v="20"/>
    <x v="47"/>
    <x v="0"/>
    <x v="0"/>
    <x v="2"/>
    <x v="3"/>
    <x v="4"/>
    <x v="0"/>
    <x v="7"/>
  </r>
  <r>
    <x v="3"/>
    <x v="48"/>
    <x v="3"/>
    <x v="1"/>
    <x v="2"/>
    <x v="5"/>
    <x v="1"/>
    <x v="3"/>
    <x v="16"/>
  </r>
  <r>
    <x v="8"/>
    <x v="49"/>
    <x v="1"/>
    <x v="0"/>
    <x v="0"/>
    <x v="3"/>
    <x v="2"/>
    <x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ales_by_Region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9">
    <pivotField compact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Sales_by_Category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6" firstHeaderRow="1" firstDataRow="1" firstDataCol="1"/>
  <pivotFields count="9">
    <pivotField compact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Revenue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Salesperson_Performance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0" firstHeaderRow="1" firstDataRow="1" firstDataCol="1"/>
  <pivotFields count="9">
    <pivotField compact="0" showAll="0">
      <items count="25">
        <item x="14"/>
        <item x="13"/>
        <item x="5"/>
        <item x="4"/>
        <item x="11"/>
        <item x="23"/>
        <item x="17"/>
        <item x="1"/>
        <item x="3"/>
        <item x="20"/>
        <item x="6"/>
        <item x="2"/>
        <item x="10"/>
        <item x="16"/>
        <item x="22"/>
        <item x="7"/>
        <item x="9"/>
        <item x="0"/>
        <item x="15"/>
        <item x="8"/>
        <item x="18"/>
        <item x="21"/>
        <item x="12"/>
        <item x="19"/>
        <item t="default"/>
      </items>
    </pivotField>
    <pivotField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6">
        <item x="3"/>
        <item x="0"/>
        <item x="1"/>
        <item x="2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axis="axisRow" compact="0" showAll="0">
      <items count="7">
        <item x="4"/>
        <item x="1"/>
        <item x="3"/>
        <item x="0"/>
        <item x="5"/>
        <item x="2"/>
        <item t="default"/>
      </items>
    </pivotField>
    <pivotField compact="0" showAll="0">
      <items count="7">
        <item x="4"/>
        <item x="0"/>
        <item x="1"/>
        <item x="2"/>
        <item x="3"/>
        <item x="5"/>
        <item t="default"/>
      </items>
    </pivotField>
    <pivotField compact="0" showAll="0">
      <items count="6">
        <item x="3"/>
        <item x="0"/>
        <item x="4"/>
        <item x="2"/>
        <item x="1"/>
        <item t="default"/>
      </items>
    </pivotField>
    <pivotField dataField="1" compact="0" showAll="0">
      <items count="19">
        <item x="7"/>
        <item x="0"/>
        <item x="16"/>
        <item x="5"/>
        <item x="3"/>
        <item x="10"/>
        <item x="6"/>
        <item x="9"/>
        <item x="17"/>
        <item x="11"/>
        <item x="14"/>
        <item x="15"/>
        <item x="13"/>
        <item x="1"/>
        <item x="2"/>
        <item x="4"/>
        <item x="12"/>
        <item x="8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:B6" firstHeaderRow="1" firstDataRow="1" firstDataCol="1"/>
  <pivotFields count="9">
    <pivotField compact="0" showAll="0">
      <items count="25">
        <item x="14"/>
        <item x="13"/>
        <item x="5"/>
        <item x="4"/>
        <item x="11"/>
        <item x="23"/>
        <item x="17"/>
        <item x="1"/>
        <item x="3"/>
        <item x="20"/>
        <item x="6"/>
        <item x="2"/>
        <item x="10"/>
        <item x="16"/>
        <item x="22"/>
        <item x="7"/>
        <item x="9"/>
        <item x="0"/>
        <item x="15"/>
        <item x="8"/>
        <item x="18"/>
        <item x="21"/>
        <item x="12"/>
        <item x="19"/>
        <item t="default"/>
      </items>
    </pivotField>
    <pivotField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1:F4" firstHeaderRow="1" firstDataRow="1" firstDataCol="1"/>
  <pivotFields count="9">
    <pivotField compact="0" showAll="0">
      <items count="25">
        <item x="14"/>
        <item x="13"/>
        <item x="5"/>
        <item x="4"/>
        <item x="11"/>
        <item x="23"/>
        <item x="17"/>
        <item x="1"/>
        <item x="3"/>
        <item x="20"/>
        <item x="6"/>
        <item x="2"/>
        <item x="10"/>
        <item x="16"/>
        <item x="22"/>
        <item x="7"/>
        <item x="9"/>
        <item x="0"/>
        <item x="15"/>
        <item x="8"/>
        <item x="18"/>
        <item x="21"/>
        <item x="12"/>
        <item x="19"/>
        <item t="default"/>
      </items>
    </pivotField>
    <pivotField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dataField="1"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Revenue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I1:J8" firstHeaderRow="1" firstDataRow="1" firstDataCol="1"/>
  <pivotFields count="9">
    <pivotField compact="0" showAll="0">
      <items count="25">
        <item x="14"/>
        <item x="13"/>
        <item x="5"/>
        <item x="4"/>
        <item x="11"/>
        <item x="23"/>
        <item x="17"/>
        <item x="1"/>
        <item x="3"/>
        <item x="20"/>
        <item x="6"/>
        <item x="2"/>
        <item x="10"/>
        <item x="16"/>
        <item x="22"/>
        <item x="7"/>
        <item x="9"/>
        <item x="0"/>
        <item x="15"/>
        <item x="8"/>
        <item x="18"/>
        <item x="21"/>
        <item x="12"/>
        <item x="19"/>
        <item t="default"/>
      </items>
    </pivotField>
    <pivotField compact="0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compact="0" showAll="0">
      <items count="6">
        <item x="3"/>
        <item x="0"/>
        <item x="1"/>
        <item x="2"/>
        <item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axis="axisRow" compact="0" showAll="0">
      <items count="7">
        <item x="4"/>
        <item x="1"/>
        <item x="3"/>
        <item x="0"/>
        <item x="5"/>
        <item x="2"/>
        <item t="default"/>
      </items>
    </pivotField>
    <pivotField compact="0" showAll="0">
      <items count="7">
        <item x="4"/>
        <item x="0"/>
        <item x="1"/>
        <item x="2"/>
        <item x="3"/>
        <item x="5"/>
        <item t="default"/>
      </items>
    </pivotField>
    <pivotField compact="0" showAll="0">
      <items count="6">
        <item x="3"/>
        <item x="0"/>
        <item x="4"/>
        <item x="2"/>
        <item x="1"/>
        <item t="default"/>
      </items>
    </pivotField>
    <pivotField dataField="1" compact="0" showAll="0">
      <items count="19">
        <item x="7"/>
        <item x="0"/>
        <item x="16"/>
        <item x="5"/>
        <item x="3"/>
        <item x="10"/>
        <item x="6"/>
        <item x="9"/>
        <item x="17"/>
        <item x="11"/>
        <item x="14"/>
        <item x="15"/>
        <item x="13"/>
        <item x="1"/>
        <item x="2"/>
        <item x="4"/>
        <item x="12"/>
        <item x="8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Sales_Data_Table" displayName="Sales_Data_Table" ref="A1:I51" totalsRowShown="0">
  <tableColumns count="9">
    <tableColumn id="1" name="Date"/>
    <tableColumn id="2" name="Order_ID"/>
    <tableColumn id="3" name="Product"/>
    <tableColumn id="4" name="Category"/>
    <tableColumn id="5" name="Region"/>
    <tableColumn id="6" name="Salesperson"/>
    <tableColumn id="7" name="Units_Sold"/>
    <tableColumn id="8" name="Unit_Price"/>
    <tableColumn id="9" name="Revenue">
      <calculatedColumnFormula>G2*H2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1"/>
  <sheetViews>
    <sheetView workbookViewId="0">
      <selection activeCell="A1" sqref="A1"/>
    </sheetView>
  </sheetViews>
  <sheetFormatPr defaultColWidth="9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1001</v>
      </c>
      <c r="C2" t="s">
        <v>10</v>
      </c>
      <c r="D2" t="s">
        <v>11</v>
      </c>
      <c r="E2" t="s">
        <v>12</v>
      </c>
      <c r="F2" t="s">
        <v>13</v>
      </c>
      <c r="G2">
        <v>2</v>
      </c>
      <c r="H2">
        <v>4000</v>
      </c>
      <c r="I2">
        <f t="shared" ref="I2:I51" si="0">G2*H2</f>
        <v>8000</v>
      </c>
    </row>
    <row r="3" spans="1:9">
      <c r="A3" t="s">
        <v>14</v>
      </c>
      <c r="B3">
        <v>1002</v>
      </c>
      <c r="C3" t="s">
        <v>15</v>
      </c>
      <c r="D3" t="s">
        <v>11</v>
      </c>
      <c r="E3" t="s">
        <v>16</v>
      </c>
      <c r="F3" t="s">
        <v>17</v>
      </c>
      <c r="G3">
        <v>2</v>
      </c>
      <c r="H3">
        <v>50000</v>
      </c>
      <c r="I3">
        <f t="shared" si="0"/>
        <v>100000</v>
      </c>
    </row>
    <row r="4" spans="1:9">
      <c r="A4" t="s">
        <v>18</v>
      </c>
      <c r="B4">
        <v>1003</v>
      </c>
      <c r="C4" t="s">
        <v>15</v>
      </c>
      <c r="D4" t="s">
        <v>11</v>
      </c>
      <c r="E4" t="s">
        <v>19</v>
      </c>
      <c r="F4" t="s">
        <v>20</v>
      </c>
      <c r="G4">
        <v>3</v>
      </c>
      <c r="H4">
        <v>50000</v>
      </c>
      <c r="I4">
        <f t="shared" si="0"/>
        <v>150000</v>
      </c>
    </row>
    <row r="5" spans="1:9">
      <c r="A5" t="s">
        <v>21</v>
      </c>
      <c r="B5">
        <v>1004</v>
      </c>
      <c r="C5" t="s">
        <v>10</v>
      </c>
      <c r="D5" t="s">
        <v>11</v>
      </c>
      <c r="E5" t="s">
        <v>22</v>
      </c>
      <c r="F5" t="s">
        <v>23</v>
      </c>
      <c r="G5">
        <v>4</v>
      </c>
      <c r="H5">
        <v>4000</v>
      </c>
      <c r="I5">
        <f t="shared" si="0"/>
        <v>16000</v>
      </c>
    </row>
    <row r="6" spans="1:9">
      <c r="A6" t="s">
        <v>24</v>
      </c>
      <c r="B6">
        <v>1005</v>
      </c>
      <c r="C6" t="s">
        <v>15</v>
      </c>
      <c r="D6" t="s">
        <v>11</v>
      </c>
      <c r="E6" t="s">
        <v>12</v>
      </c>
      <c r="F6" t="s">
        <v>20</v>
      </c>
      <c r="G6">
        <v>4</v>
      </c>
      <c r="H6">
        <v>50000</v>
      </c>
      <c r="I6">
        <f t="shared" si="0"/>
        <v>200000</v>
      </c>
    </row>
    <row r="7" spans="1:9">
      <c r="A7" t="s">
        <v>25</v>
      </c>
      <c r="B7">
        <v>1006</v>
      </c>
      <c r="C7" t="s">
        <v>15</v>
      </c>
      <c r="D7" t="s">
        <v>11</v>
      </c>
      <c r="E7" t="s">
        <v>19</v>
      </c>
      <c r="F7" t="s">
        <v>20</v>
      </c>
      <c r="G7">
        <v>3</v>
      </c>
      <c r="H7">
        <v>50000</v>
      </c>
      <c r="I7">
        <f t="shared" si="0"/>
        <v>150000</v>
      </c>
    </row>
    <row r="8" spans="1:9">
      <c r="A8" t="s">
        <v>26</v>
      </c>
      <c r="B8">
        <v>1007</v>
      </c>
      <c r="C8" t="s">
        <v>10</v>
      </c>
      <c r="D8" t="s">
        <v>11</v>
      </c>
      <c r="E8" t="s">
        <v>12</v>
      </c>
      <c r="F8" t="s">
        <v>27</v>
      </c>
      <c r="G8">
        <v>3</v>
      </c>
      <c r="H8">
        <v>4000</v>
      </c>
      <c r="I8">
        <f t="shared" si="0"/>
        <v>12000</v>
      </c>
    </row>
    <row r="9" spans="1:9">
      <c r="A9" t="s">
        <v>9</v>
      </c>
      <c r="B9">
        <v>1008</v>
      </c>
      <c r="C9" t="s">
        <v>10</v>
      </c>
      <c r="D9" t="s">
        <v>11</v>
      </c>
      <c r="E9" t="s">
        <v>19</v>
      </c>
      <c r="F9" t="s">
        <v>17</v>
      </c>
      <c r="G9">
        <v>5</v>
      </c>
      <c r="H9">
        <v>4000</v>
      </c>
      <c r="I9">
        <f t="shared" si="0"/>
        <v>20000</v>
      </c>
    </row>
    <row r="10" spans="1:9">
      <c r="A10" t="s">
        <v>18</v>
      </c>
      <c r="B10">
        <v>1009</v>
      </c>
      <c r="C10" t="s">
        <v>10</v>
      </c>
      <c r="D10" t="s">
        <v>11</v>
      </c>
      <c r="E10" t="s">
        <v>19</v>
      </c>
      <c r="F10" t="s">
        <v>13</v>
      </c>
      <c r="G10">
        <v>1</v>
      </c>
      <c r="H10">
        <v>4000</v>
      </c>
      <c r="I10">
        <f t="shared" si="0"/>
        <v>4000</v>
      </c>
    </row>
    <row r="11" spans="1:9">
      <c r="A11" t="s">
        <v>28</v>
      </c>
      <c r="B11">
        <v>1010</v>
      </c>
      <c r="C11" t="s">
        <v>15</v>
      </c>
      <c r="D11" t="s">
        <v>11</v>
      </c>
      <c r="E11" t="s">
        <v>16</v>
      </c>
      <c r="F11" t="s">
        <v>13</v>
      </c>
      <c r="G11">
        <v>6</v>
      </c>
      <c r="H11">
        <v>50000</v>
      </c>
      <c r="I11">
        <f t="shared" si="0"/>
        <v>300000</v>
      </c>
    </row>
    <row r="12" spans="1:9">
      <c r="A12" t="s">
        <v>9</v>
      </c>
      <c r="B12">
        <v>1011</v>
      </c>
      <c r="C12" t="s">
        <v>29</v>
      </c>
      <c r="D12" t="s">
        <v>11</v>
      </c>
      <c r="E12" t="s">
        <v>19</v>
      </c>
      <c r="F12" t="s">
        <v>13</v>
      </c>
      <c r="G12">
        <v>1</v>
      </c>
      <c r="H12">
        <v>20000</v>
      </c>
      <c r="I12">
        <f t="shared" si="0"/>
        <v>20000</v>
      </c>
    </row>
    <row r="13" spans="1:9">
      <c r="A13" t="s">
        <v>30</v>
      </c>
      <c r="B13">
        <v>1012</v>
      </c>
      <c r="C13" t="s">
        <v>29</v>
      </c>
      <c r="D13" t="s">
        <v>11</v>
      </c>
      <c r="E13" t="s">
        <v>16</v>
      </c>
      <c r="F13" t="s">
        <v>31</v>
      </c>
      <c r="G13">
        <v>5</v>
      </c>
      <c r="H13">
        <v>20000</v>
      </c>
      <c r="I13">
        <f t="shared" si="0"/>
        <v>100000</v>
      </c>
    </row>
    <row r="14" spans="1:9">
      <c r="A14" t="s">
        <v>32</v>
      </c>
      <c r="B14">
        <v>1013</v>
      </c>
      <c r="C14" t="s">
        <v>29</v>
      </c>
      <c r="D14" t="s">
        <v>11</v>
      </c>
      <c r="E14" t="s">
        <v>16</v>
      </c>
      <c r="F14" t="s">
        <v>20</v>
      </c>
      <c r="G14">
        <v>1</v>
      </c>
      <c r="H14">
        <v>20000</v>
      </c>
      <c r="I14">
        <f t="shared" si="0"/>
        <v>20000</v>
      </c>
    </row>
    <row r="15" spans="1:9">
      <c r="A15" t="s">
        <v>33</v>
      </c>
      <c r="B15">
        <v>1014</v>
      </c>
      <c r="C15" t="s">
        <v>15</v>
      </c>
      <c r="D15" t="s">
        <v>11</v>
      </c>
      <c r="E15" t="s">
        <v>22</v>
      </c>
      <c r="F15" t="s">
        <v>20</v>
      </c>
      <c r="G15">
        <v>3</v>
      </c>
      <c r="H15">
        <v>50000</v>
      </c>
      <c r="I15">
        <f t="shared" si="0"/>
        <v>150000</v>
      </c>
    </row>
    <row r="16" spans="1:9">
      <c r="A16" t="s">
        <v>25</v>
      </c>
      <c r="B16">
        <v>1015</v>
      </c>
      <c r="C16" t="s">
        <v>10</v>
      </c>
      <c r="D16" t="s">
        <v>11</v>
      </c>
      <c r="E16" t="s">
        <v>19</v>
      </c>
      <c r="F16" t="s">
        <v>13</v>
      </c>
      <c r="G16">
        <v>6</v>
      </c>
      <c r="H16">
        <v>4000</v>
      </c>
      <c r="I16">
        <f t="shared" si="0"/>
        <v>24000</v>
      </c>
    </row>
    <row r="17" spans="1:9">
      <c r="A17" t="s">
        <v>9</v>
      </c>
      <c r="B17">
        <v>1016</v>
      </c>
      <c r="C17" t="s">
        <v>34</v>
      </c>
      <c r="D17" t="s">
        <v>35</v>
      </c>
      <c r="E17" t="s">
        <v>19</v>
      </c>
      <c r="F17" t="s">
        <v>17</v>
      </c>
      <c r="G17">
        <v>6</v>
      </c>
      <c r="H17">
        <v>3000</v>
      </c>
      <c r="I17">
        <f t="shared" si="0"/>
        <v>18000</v>
      </c>
    </row>
    <row r="18" spans="1:9">
      <c r="A18" t="s">
        <v>36</v>
      </c>
      <c r="B18">
        <v>1017</v>
      </c>
      <c r="C18" t="s">
        <v>29</v>
      </c>
      <c r="D18" t="s">
        <v>11</v>
      </c>
      <c r="E18" t="s">
        <v>19</v>
      </c>
      <c r="F18" t="s">
        <v>13</v>
      </c>
      <c r="G18">
        <v>5</v>
      </c>
      <c r="H18">
        <v>20000</v>
      </c>
      <c r="I18">
        <f t="shared" si="0"/>
        <v>100000</v>
      </c>
    </row>
    <row r="19" spans="1:9">
      <c r="A19" t="s">
        <v>30</v>
      </c>
      <c r="B19">
        <v>1018</v>
      </c>
      <c r="C19" t="s">
        <v>37</v>
      </c>
      <c r="D19" t="s">
        <v>35</v>
      </c>
      <c r="E19" t="s">
        <v>12</v>
      </c>
      <c r="F19" t="s">
        <v>27</v>
      </c>
      <c r="G19">
        <v>6</v>
      </c>
      <c r="H19">
        <v>8000</v>
      </c>
      <c r="I19">
        <f t="shared" si="0"/>
        <v>48000</v>
      </c>
    </row>
    <row r="20" spans="1:9">
      <c r="A20" t="s">
        <v>38</v>
      </c>
      <c r="B20">
        <v>1019</v>
      </c>
      <c r="C20" t="s">
        <v>37</v>
      </c>
      <c r="D20" t="s">
        <v>35</v>
      </c>
      <c r="E20" t="s">
        <v>12</v>
      </c>
      <c r="F20" t="s">
        <v>31</v>
      </c>
      <c r="G20">
        <v>2</v>
      </c>
      <c r="H20">
        <v>8000</v>
      </c>
      <c r="I20">
        <f t="shared" si="0"/>
        <v>16000</v>
      </c>
    </row>
    <row r="21" spans="1:9">
      <c r="A21" t="s">
        <v>39</v>
      </c>
      <c r="B21">
        <v>1020</v>
      </c>
      <c r="C21" t="s">
        <v>10</v>
      </c>
      <c r="D21" t="s">
        <v>11</v>
      </c>
      <c r="E21" t="s">
        <v>16</v>
      </c>
      <c r="F21" t="s">
        <v>20</v>
      </c>
      <c r="G21">
        <v>1</v>
      </c>
      <c r="H21">
        <v>4000</v>
      </c>
      <c r="I21">
        <f t="shared" si="0"/>
        <v>4000</v>
      </c>
    </row>
    <row r="22" spans="1:9">
      <c r="A22" t="s">
        <v>36</v>
      </c>
      <c r="B22">
        <v>1021</v>
      </c>
      <c r="C22" t="s">
        <v>15</v>
      </c>
      <c r="D22" t="s">
        <v>11</v>
      </c>
      <c r="E22" t="s">
        <v>16</v>
      </c>
      <c r="F22" t="s">
        <v>31</v>
      </c>
      <c r="G22">
        <v>5</v>
      </c>
      <c r="H22">
        <v>50000</v>
      </c>
      <c r="I22">
        <f t="shared" si="0"/>
        <v>250000</v>
      </c>
    </row>
    <row r="23" spans="1:9">
      <c r="A23" t="s">
        <v>40</v>
      </c>
      <c r="B23">
        <v>1022</v>
      </c>
      <c r="C23" t="s">
        <v>10</v>
      </c>
      <c r="D23" t="s">
        <v>11</v>
      </c>
      <c r="E23" t="s">
        <v>22</v>
      </c>
      <c r="F23" t="s">
        <v>31</v>
      </c>
      <c r="G23">
        <v>2</v>
      </c>
      <c r="H23">
        <v>4000</v>
      </c>
      <c r="I23">
        <f t="shared" si="0"/>
        <v>8000</v>
      </c>
    </row>
    <row r="24" spans="1:9">
      <c r="A24" t="s">
        <v>30</v>
      </c>
      <c r="B24">
        <v>1023</v>
      </c>
      <c r="C24" t="s">
        <v>29</v>
      </c>
      <c r="D24" t="s">
        <v>11</v>
      </c>
      <c r="E24" t="s">
        <v>19</v>
      </c>
      <c r="F24" t="s">
        <v>13</v>
      </c>
      <c r="G24">
        <v>4</v>
      </c>
      <c r="H24">
        <v>20000</v>
      </c>
      <c r="I24">
        <f t="shared" si="0"/>
        <v>80000</v>
      </c>
    </row>
    <row r="25" spans="1:9">
      <c r="A25" t="s">
        <v>36</v>
      </c>
      <c r="B25">
        <v>1024</v>
      </c>
      <c r="C25" t="s">
        <v>15</v>
      </c>
      <c r="D25" t="s">
        <v>11</v>
      </c>
      <c r="E25" t="s">
        <v>19</v>
      </c>
      <c r="F25" t="s">
        <v>23</v>
      </c>
      <c r="G25">
        <v>1</v>
      </c>
      <c r="H25">
        <v>50000</v>
      </c>
      <c r="I25">
        <f t="shared" si="0"/>
        <v>50000</v>
      </c>
    </row>
    <row r="26" spans="1:9">
      <c r="A26" t="s">
        <v>24</v>
      </c>
      <c r="B26">
        <v>1025</v>
      </c>
      <c r="C26" t="s">
        <v>37</v>
      </c>
      <c r="D26" t="s">
        <v>35</v>
      </c>
      <c r="E26" t="s">
        <v>16</v>
      </c>
      <c r="F26" t="s">
        <v>31</v>
      </c>
      <c r="G26">
        <v>1</v>
      </c>
      <c r="H26">
        <v>8000</v>
      </c>
      <c r="I26">
        <f t="shared" si="0"/>
        <v>8000</v>
      </c>
    </row>
    <row r="27" spans="1:9">
      <c r="A27" t="s">
        <v>18</v>
      </c>
      <c r="B27">
        <v>1026</v>
      </c>
      <c r="C27" t="s">
        <v>37</v>
      </c>
      <c r="D27" t="s">
        <v>35</v>
      </c>
      <c r="E27" t="s">
        <v>16</v>
      </c>
      <c r="F27" t="s">
        <v>13</v>
      </c>
      <c r="G27">
        <v>2</v>
      </c>
      <c r="H27">
        <v>8000</v>
      </c>
      <c r="I27">
        <f t="shared" si="0"/>
        <v>16000</v>
      </c>
    </row>
    <row r="28" spans="1:9">
      <c r="A28" t="s">
        <v>41</v>
      </c>
      <c r="B28">
        <v>1027</v>
      </c>
      <c r="C28" t="s">
        <v>29</v>
      </c>
      <c r="D28" t="s">
        <v>11</v>
      </c>
      <c r="E28" t="s">
        <v>22</v>
      </c>
      <c r="F28" t="s">
        <v>27</v>
      </c>
      <c r="G28">
        <v>3</v>
      </c>
      <c r="H28">
        <v>20000</v>
      </c>
      <c r="I28">
        <f t="shared" si="0"/>
        <v>60000</v>
      </c>
    </row>
    <row r="29" spans="1:9">
      <c r="A29" t="s">
        <v>9</v>
      </c>
      <c r="B29">
        <v>1028</v>
      </c>
      <c r="C29" t="s">
        <v>10</v>
      </c>
      <c r="D29" t="s">
        <v>11</v>
      </c>
      <c r="E29" t="s">
        <v>19</v>
      </c>
      <c r="F29" t="s">
        <v>20</v>
      </c>
      <c r="G29">
        <v>3</v>
      </c>
      <c r="H29">
        <v>4000</v>
      </c>
      <c r="I29">
        <f t="shared" si="0"/>
        <v>12000</v>
      </c>
    </row>
    <row r="30" spans="1:9">
      <c r="A30" t="s">
        <v>42</v>
      </c>
      <c r="B30">
        <v>1029</v>
      </c>
      <c r="C30" t="s">
        <v>10</v>
      </c>
      <c r="D30" t="s">
        <v>11</v>
      </c>
      <c r="E30" t="s">
        <v>12</v>
      </c>
      <c r="F30" t="s">
        <v>20</v>
      </c>
      <c r="G30">
        <v>5</v>
      </c>
      <c r="H30">
        <v>4000</v>
      </c>
      <c r="I30">
        <f t="shared" si="0"/>
        <v>20000</v>
      </c>
    </row>
    <row r="31" spans="1:9">
      <c r="A31" t="s">
        <v>9</v>
      </c>
      <c r="B31">
        <v>1030</v>
      </c>
      <c r="C31" t="s">
        <v>10</v>
      </c>
      <c r="D31" t="s">
        <v>11</v>
      </c>
      <c r="E31" t="s">
        <v>12</v>
      </c>
      <c r="F31" t="s">
        <v>27</v>
      </c>
      <c r="G31">
        <v>3</v>
      </c>
      <c r="H31">
        <v>4000</v>
      </c>
      <c r="I31">
        <f t="shared" si="0"/>
        <v>12000</v>
      </c>
    </row>
    <row r="32" spans="1:9">
      <c r="A32" t="s">
        <v>43</v>
      </c>
      <c r="B32">
        <v>1031</v>
      </c>
      <c r="C32" t="s">
        <v>37</v>
      </c>
      <c r="D32" t="s">
        <v>35</v>
      </c>
      <c r="E32" t="s">
        <v>12</v>
      </c>
      <c r="F32" t="s">
        <v>17</v>
      </c>
      <c r="G32">
        <v>1</v>
      </c>
      <c r="H32">
        <v>8000</v>
      </c>
      <c r="I32">
        <f t="shared" si="0"/>
        <v>8000</v>
      </c>
    </row>
    <row r="33" spans="1:9">
      <c r="A33" t="s">
        <v>38</v>
      </c>
      <c r="B33">
        <v>1032</v>
      </c>
      <c r="C33" t="s">
        <v>15</v>
      </c>
      <c r="D33" t="s">
        <v>11</v>
      </c>
      <c r="E33" t="s">
        <v>19</v>
      </c>
      <c r="F33" t="s">
        <v>13</v>
      </c>
      <c r="G33">
        <v>6</v>
      </c>
      <c r="H33">
        <v>50000</v>
      </c>
      <c r="I33">
        <f t="shared" si="0"/>
        <v>300000</v>
      </c>
    </row>
    <row r="34" spans="1:9">
      <c r="A34" t="s">
        <v>44</v>
      </c>
      <c r="B34">
        <v>1033</v>
      </c>
      <c r="C34" t="s">
        <v>10</v>
      </c>
      <c r="D34" t="s">
        <v>11</v>
      </c>
      <c r="E34" t="s">
        <v>22</v>
      </c>
      <c r="F34" t="s">
        <v>27</v>
      </c>
      <c r="G34">
        <v>1</v>
      </c>
      <c r="H34">
        <v>4000</v>
      </c>
      <c r="I34">
        <f t="shared" si="0"/>
        <v>4000</v>
      </c>
    </row>
    <row r="35" spans="1:9">
      <c r="A35" t="s">
        <v>41</v>
      </c>
      <c r="B35">
        <v>1034</v>
      </c>
      <c r="C35" t="s">
        <v>34</v>
      </c>
      <c r="D35" t="s">
        <v>35</v>
      </c>
      <c r="E35" t="s">
        <v>16</v>
      </c>
      <c r="F35" t="s">
        <v>13</v>
      </c>
      <c r="G35">
        <v>3</v>
      </c>
      <c r="H35">
        <v>3000</v>
      </c>
      <c r="I35">
        <f t="shared" si="0"/>
        <v>9000</v>
      </c>
    </row>
    <row r="36" spans="1:9">
      <c r="A36" t="s">
        <v>45</v>
      </c>
      <c r="B36">
        <v>1035</v>
      </c>
      <c r="C36" t="s">
        <v>29</v>
      </c>
      <c r="D36" t="s">
        <v>11</v>
      </c>
      <c r="E36" t="s">
        <v>22</v>
      </c>
      <c r="F36" t="s">
        <v>27</v>
      </c>
      <c r="G36">
        <v>3</v>
      </c>
      <c r="H36">
        <v>20000</v>
      </c>
      <c r="I36">
        <f t="shared" si="0"/>
        <v>60000</v>
      </c>
    </row>
    <row r="37" spans="1:9">
      <c r="A37" t="s">
        <v>44</v>
      </c>
      <c r="B37">
        <v>1036</v>
      </c>
      <c r="C37" t="s">
        <v>10</v>
      </c>
      <c r="D37" t="s">
        <v>11</v>
      </c>
      <c r="E37" t="s">
        <v>16</v>
      </c>
      <c r="F37" t="s">
        <v>13</v>
      </c>
      <c r="G37">
        <v>2</v>
      </c>
      <c r="H37">
        <v>4000</v>
      </c>
      <c r="I37">
        <f t="shared" si="0"/>
        <v>8000</v>
      </c>
    </row>
    <row r="38" spans="1:9">
      <c r="A38" t="s">
        <v>46</v>
      </c>
      <c r="B38">
        <v>1037</v>
      </c>
      <c r="C38" t="s">
        <v>37</v>
      </c>
      <c r="D38" t="s">
        <v>35</v>
      </c>
      <c r="E38" t="s">
        <v>12</v>
      </c>
      <c r="F38" t="s">
        <v>31</v>
      </c>
      <c r="G38">
        <v>1</v>
      </c>
      <c r="H38">
        <v>8000</v>
      </c>
      <c r="I38">
        <f t="shared" si="0"/>
        <v>8000</v>
      </c>
    </row>
    <row r="39" spans="1:9">
      <c r="A39" t="s">
        <v>30</v>
      </c>
      <c r="B39">
        <v>1038</v>
      </c>
      <c r="C39" t="s">
        <v>29</v>
      </c>
      <c r="D39" t="s">
        <v>11</v>
      </c>
      <c r="E39" t="s">
        <v>19</v>
      </c>
      <c r="F39" t="s">
        <v>31</v>
      </c>
      <c r="G39">
        <v>1</v>
      </c>
      <c r="H39">
        <v>20000</v>
      </c>
      <c r="I39">
        <f t="shared" si="0"/>
        <v>20000</v>
      </c>
    </row>
    <row r="40" spans="1:9">
      <c r="A40" t="s">
        <v>47</v>
      </c>
      <c r="B40">
        <v>1039</v>
      </c>
      <c r="C40" t="s">
        <v>37</v>
      </c>
      <c r="D40" t="s">
        <v>35</v>
      </c>
      <c r="E40" t="s">
        <v>19</v>
      </c>
      <c r="F40" t="s">
        <v>31</v>
      </c>
      <c r="G40">
        <v>6</v>
      </c>
      <c r="H40">
        <v>8000</v>
      </c>
      <c r="I40">
        <f t="shared" si="0"/>
        <v>48000</v>
      </c>
    </row>
    <row r="41" spans="1:9">
      <c r="A41" t="s">
        <v>48</v>
      </c>
      <c r="B41">
        <v>1040</v>
      </c>
      <c r="C41" t="s">
        <v>15</v>
      </c>
      <c r="D41" t="s">
        <v>11</v>
      </c>
      <c r="E41" t="s">
        <v>16</v>
      </c>
      <c r="F41" t="s">
        <v>20</v>
      </c>
      <c r="G41">
        <v>5</v>
      </c>
      <c r="H41">
        <v>50000</v>
      </c>
      <c r="I41">
        <f t="shared" si="0"/>
        <v>250000</v>
      </c>
    </row>
    <row r="42" spans="1:9">
      <c r="A42" t="s">
        <v>28</v>
      </c>
      <c r="B42">
        <v>1041</v>
      </c>
      <c r="C42" t="s">
        <v>15</v>
      </c>
      <c r="D42" t="s">
        <v>11</v>
      </c>
      <c r="E42" t="s">
        <v>19</v>
      </c>
      <c r="F42" t="s">
        <v>17</v>
      </c>
      <c r="G42">
        <v>1</v>
      </c>
      <c r="H42">
        <v>50000</v>
      </c>
      <c r="I42">
        <f t="shared" si="0"/>
        <v>50000</v>
      </c>
    </row>
    <row r="43" spans="1:9">
      <c r="A43" t="s">
        <v>25</v>
      </c>
      <c r="B43">
        <v>1042</v>
      </c>
      <c r="C43" t="s">
        <v>37</v>
      </c>
      <c r="D43" t="s">
        <v>35</v>
      </c>
      <c r="E43" t="s">
        <v>19</v>
      </c>
      <c r="F43" t="s">
        <v>23</v>
      </c>
      <c r="G43">
        <v>5</v>
      </c>
      <c r="H43">
        <v>8000</v>
      </c>
      <c r="I43">
        <f t="shared" si="0"/>
        <v>40000</v>
      </c>
    </row>
    <row r="44" spans="1:9">
      <c r="A44" t="s">
        <v>33</v>
      </c>
      <c r="B44">
        <v>1043</v>
      </c>
      <c r="C44" t="s">
        <v>15</v>
      </c>
      <c r="D44" t="s">
        <v>11</v>
      </c>
      <c r="E44" t="s">
        <v>19</v>
      </c>
      <c r="F44" t="s">
        <v>17</v>
      </c>
      <c r="G44">
        <v>2</v>
      </c>
      <c r="H44">
        <v>50000</v>
      </c>
      <c r="I44">
        <f t="shared" si="0"/>
        <v>100000</v>
      </c>
    </row>
    <row r="45" spans="1:9">
      <c r="A45" t="s">
        <v>46</v>
      </c>
      <c r="B45">
        <v>1044</v>
      </c>
      <c r="C45" t="s">
        <v>15</v>
      </c>
      <c r="D45" t="s">
        <v>11</v>
      </c>
      <c r="E45" t="s">
        <v>19</v>
      </c>
      <c r="F45" t="s">
        <v>13</v>
      </c>
      <c r="G45">
        <v>4</v>
      </c>
      <c r="H45">
        <v>50000</v>
      </c>
      <c r="I45">
        <f t="shared" si="0"/>
        <v>200000</v>
      </c>
    </row>
    <row r="46" spans="1:9">
      <c r="A46" t="s">
        <v>18</v>
      </c>
      <c r="B46">
        <v>1045</v>
      </c>
      <c r="C46" t="s">
        <v>10</v>
      </c>
      <c r="D46" t="s">
        <v>11</v>
      </c>
      <c r="E46" t="s">
        <v>12</v>
      </c>
      <c r="F46" t="s">
        <v>20</v>
      </c>
      <c r="G46">
        <v>3</v>
      </c>
      <c r="H46">
        <v>4000</v>
      </c>
      <c r="I46">
        <f t="shared" si="0"/>
        <v>12000</v>
      </c>
    </row>
    <row r="47" spans="1:9">
      <c r="A47" t="s">
        <v>49</v>
      </c>
      <c r="B47">
        <v>1046</v>
      </c>
      <c r="C47" t="s">
        <v>29</v>
      </c>
      <c r="D47" t="s">
        <v>11</v>
      </c>
      <c r="E47" t="s">
        <v>19</v>
      </c>
      <c r="F47" t="s">
        <v>17</v>
      </c>
      <c r="G47">
        <v>2</v>
      </c>
      <c r="H47">
        <v>20000</v>
      </c>
      <c r="I47">
        <f t="shared" si="0"/>
        <v>40000</v>
      </c>
    </row>
    <row r="48" spans="1:9">
      <c r="A48" t="s">
        <v>46</v>
      </c>
      <c r="B48">
        <v>1047</v>
      </c>
      <c r="C48" t="s">
        <v>29</v>
      </c>
      <c r="D48" t="s">
        <v>11</v>
      </c>
      <c r="E48" t="s">
        <v>12</v>
      </c>
      <c r="F48" t="s">
        <v>27</v>
      </c>
      <c r="G48">
        <v>5</v>
      </c>
      <c r="H48">
        <v>20000</v>
      </c>
      <c r="I48">
        <f t="shared" si="0"/>
        <v>100000</v>
      </c>
    </row>
    <row r="49" spans="1:9">
      <c r="A49" t="s">
        <v>46</v>
      </c>
      <c r="B49">
        <v>1048</v>
      </c>
      <c r="C49" t="s">
        <v>10</v>
      </c>
      <c r="D49" t="s">
        <v>11</v>
      </c>
      <c r="E49" t="s">
        <v>19</v>
      </c>
      <c r="F49" t="s">
        <v>23</v>
      </c>
      <c r="G49">
        <v>1</v>
      </c>
      <c r="H49">
        <v>4000</v>
      </c>
      <c r="I49">
        <f t="shared" si="0"/>
        <v>4000</v>
      </c>
    </row>
    <row r="50" spans="1:9">
      <c r="A50" t="s">
        <v>21</v>
      </c>
      <c r="B50">
        <v>1049</v>
      </c>
      <c r="C50" t="s">
        <v>34</v>
      </c>
      <c r="D50" t="s">
        <v>35</v>
      </c>
      <c r="E50" t="s">
        <v>19</v>
      </c>
      <c r="F50" t="s">
        <v>31</v>
      </c>
      <c r="G50">
        <v>3</v>
      </c>
      <c r="H50">
        <v>3000</v>
      </c>
      <c r="I50">
        <f t="shared" si="0"/>
        <v>9000</v>
      </c>
    </row>
    <row r="51" spans="1:9">
      <c r="A51" t="s">
        <v>30</v>
      </c>
      <c r="B51">
        <v>1050</v>
      </c>
      <c r="C51" t="s">
        <v>15</v>
      </c>
      <c r="D51" t="s">
        <v>11</v>
      </c>
      <c r="E51" t="s">
        <v>12</v>
      </c>
      <c r="F51" t="s">
        <v>23</v>
      </c>
      <c r="G51">
        <v>4</v>
      </c>
      <c r="H51">
        <v>50000</v>
      </c>
      <c r="I51">
        <f t="shared" si="0"/>
        <v>200000</v>
      </c>
    </row>
  </sheetData>
  <pageMargins left="0.75" right="0.75" top="1" bottom="1" header="0.5" footer="0.5"/>
  <headerFooter/>
  <ignoredErrors>
    <ignoredError sqref="A3" twoDigitTextYear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A3" sqref="A3:B8"/>
    </sheetView>
  </sheetViews>
  <sheetFormatPr defaultColWidth="8.88888888888889" defaultRowHeight="14.4" outlineLevelRow="7" outlineLevelCol="1"/>
  <cols>
    <col min="1" max="1" width="11.6666666666667"/>
    <col min="2" max="2" width="16.1111111111111"/>
  </cols>
  <sheetData>
    <row r="3" spans="1:2">
      <c r="A3" t="s">
        <v>4</v>
      </c>
      <c r="B3" t="s">
        <v>50</v>
      </c>
    </row>
    <row r="4" spans="1:2">
      <c r="A4" t="s">
        <v>19</v>
      </c>
      <c r="B4">
        <v>1439000</v>
      </c>
    </row>
    <row r="5" spans="1:2">
      <c r="A5" t="s">
        <v>16</v>
      </c>
      <c r="B5">
        <v>1065000</v>
      </c>
    </row>
    <row r="6" spans="1:2">
      <c r="A6" t="s">
        <v>12</v>
      </c>
      <c r="B6">
        <v>644000</v>
      </c>
    </row>
    <row r="7" spans="1:2">
      <c r="A7" t="s">
        <v>22</v>
      </c>
      <c r="B7">
        <v>298000</v>
      </c>
    </row>
    <row r="8" spans="1:2">
      <c r="A8" t="s">
        <v>51</v>
      </c>
      <c r="B8">
        <v>3446000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6"/>
  <sheetViews>
    <sheetView workbookViewId="0">
      <selection activeCell="A3" sqref="A3:B6"/>
    </sheetView>
  </sheetViews>
  <sheetFormatPr defaultColWidth="8.88888888888889" defaultRowHeight="14.4" outlineLevelRow="5" outlineLevelCol="1"/>
  <cols>
    <col min="1" max="1" width="11.6666666666667"/>
    <col min="2" max="2" width="16.1111111111111"/>
  </cols>
  <sheetData>
    <row r="3" spans="1:2">
      <c r="A3" t="s">
        <v>3</v>
      </c>
      <c r="B3" t="s">
        <v>50</v>
      </c>
    </row>
    <row r="4" spans="1:2">
      <c r="A4" t="s">
        <v>11</v>
      </c>
      <c r="B4">
        <v>3218000</v>
      </c>
    </row>
    <row r="5" spans="1:2">
      <c r="A5" t="s">
        <v>35</v>
      </c>
      <c r="B5">
        <v>228000</v>
      </c>
    </row>
    <row r="6" spans="1:2">
      <c r="A6" t="s">
        <v>51</v>
      </c>
      <c r="B6">
        <v>3446000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workbookViewId="0">
      <selection activeCell="A3" sqref="A3:B10"/>
    </sheetView>
  </sheetViews>
  <sheetFormatPr defaultColWidth="8.88888888888889" defaultRowHeight="14.4" outlineLevelCol="1"/>
  <cols>
    <col min="1" max="1" width="13.8888888888889"/>
    <col min="2" max="2" width="16.1111111111111"/>
  </cols>
  <sheetData>
    <row r="3" spans="1:2">
      <c r="A3" t="s">
        <v>5</v>
      </c>
      <c r="B3" t="s">
        <v>50</v>
      </c>
    </row>
    <row r="4" spans="1:2">
      <c r="A4" t="s">
        <v>27</v>
      </c>
      <c r="B4">
        <v>296000</v>
      </c>
    </row>
    <row r="5" spans="1:2">
      <c r="A5" t="s">
        <v>17</v>
      </c>
      <c r="B5">
        <v>336000</v>
      </c>
    </row>
    <row r="6" spans="1:2">
      <c r="A6" t="s">
        <v>23</v>
      </c>
      <c r="B6">
        <v>310000</v>
      </c>
    </row>
    <row r="7" spans="1:2">
      <c r="A7" t="s">
        <v>13</v>
      </c>
      <c r="B7">
        <v>1069000</v>
      </c>
    </row>
    <row r="8" spans="1:2">
      <c r="A8" t="s">
        <v>31</v>
      </c>
      <c r="B8">
        <v>467000</v>
      </c>
    </row>
    <row r="9" spans="1:2">
      <c r="A9" t="s">
        <v>20</v>
      </c>
      <c r="B9">
        <v>968000</v>
      </c>
    </row>
    <row r="10" spans="1:2">
      <c r="A10" t="s">
        <v>51</v>
      </c>
      <c r="B10">
        <v>3446000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I1" sqref="I1:J8"/>
    </sheetView>
  </sheetViews>
  <sheetFormatPr defaultColWidth="8.88888888888889" defaultRowHeight="14.4" outlineLevelRow="7"/>
  <sheetData>
    <row r="1" spans="1:10">
      <c r="A1" t="s">
        <v>4</v>
      </c>
      <c r="B1" t="s">
        <v>50</v>
      </c>
      <c r="E1" t="s">
        <v>3</v>
      </c>
      <c r="F1" t="s">
        <v>50</v>
      </c>
      <c r="I1" t="s">
        <v>5</v>
      </c>
      <c r="J1" t="s">
        <v>50</v>
      </c>
    </row>
    <row r="2" spans="1:10">
      <c r="A2" t="s">
        <v>19</v>
      </c>
      <c r="B2">
        <v>1439000</v>
      </c>
      <c r="E2" t="s">
        <v>11</v>
      </c>
      <c r="F2">
        <v>3218000</v>
      </c>
      <c r="I2" t="s">
        <v>27</v>
      </c>
      <c r="J2">
        <v>296000</v>
      </c>
    </row>
    <row r="3" spans="1:10">
      <c r="A3" t="s">
        <v>16</v>
      </c>
      <c r="B3">
        <v>1065000</v>
      </c>
      <c r="E3" t="s">
        <v>35</v>
      </c>
      <c r="F3">
        <v>228000</v>
      </c>
      <c r="I3" t="s">
        <v>17</v>
      </c>
      <c r="J3">
        <v>336000</v>
      </c>
    </row>
    <row r="4" spans="1:10">
      <c r="A4" t="s">
        <v>12</v>
      </c>
      <c r="B4">
        <v>644000</v>
      </c>
      <c r="E4" t="s">
        <v>51</v>
      </c>
      <c r="F4">
        <v>3446000</v>
      </c>
      <c r="I4" t="s">
        <v>23</v>
      </c>
      <c r="J4">
        <v>310000</v>
      </c>
    </row>
    <row r="5" spans="1:10">
      <c r="A5" t="s">
        <v>22</v>
      </c>
      <c r="B5">
        <v>298000</v>
      </c>
      <c r="I5" t="s">
        <v>13</v>
      </c>
      <c r="J5">
        <v>1069000</v>
      </c>
    </row>
    <row r="6" spans="1:10">
      <c r="A6" t="s">
        <v>51</v>
      </c>
      <c r="B6">
        <v>3446000</v>
      </c>
      <c r="I6" t="s">
        <v>31</v>
      </c>
      <c r="J6">
        <v>467000</v>
      </c>
    </row>
    <row r="7" spans="9:10">
      <c r="I7" t="s">
        <v>20</v>
      </c>
      <c r="J7">
        <v>968000</v>
      </c>
    </row>
    <row r="8" spans="9:10">
      <c r="I8" t="s">
        <v>51</v>
      </c>
      <c r="J8">
        <v>3446000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A4" sqref="A4"/>
    </sheetView>
  </sheetViews>
  <sheetFormatPr defaultColWidth="8.88888888888889" defaultRowHeight="14.4" outlineLevelRow="2"/>
  <sheetData>
    <row r="1" spans="1:1">
      <c r="A1" s="1" t="e">
        <f>SUM([1]Sales_Data!I:I)</f>
        <v>#REF!</v>
      </c>
    </row>
    <row r="2" spans="1:1">
      <c r="A2" s="1" t="e">
        <f>SUM([1]Sales_Data!G:G)</f>
        <v>#REF!</v>
      </c>
    </row>
    <row r="3" spans="1:1">
      <c r="A3">
        <f>COUNTA([1]Sales_Data!B:B)-1</f>
        <v>1048575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Sales_Data_Table</vt:lpstr>
      <vt:lpstr>Sales_by_Region</vt:lpstr>
      <vt:lpstr>Sales_by_Category</vt:lpstr>
      <vt:lpstr>Salesperson_Performance</vt:lpstr>
      <vt:lpstr>Dashboard</vt:lpstr>
      <vt:lpstr>MIS_Report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 Sai Kartheek Mallareddy</cp:lastModifiedBy>
  <dcterms:created xsi:type="dcterms:W3CDTF">2026-03-09T04:21:00Z</dcterms:created>
  <dcterms:modified xsi:type="dcterms:W3CDTF">2026-03-09T04:57:31Z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53C776DCE7E74A3EAF6A697D619F8761_13</vt:lpwstr>
  </property>
  <property fmtid="{D5CDD505-2E9C-101B-9397-08002B2CF9AE}" pid="3" name="KSOProductBuildVer">
    <vt:lpwstr>1033-12.2.0.23196</vt:lpwstr>
  </property>
</Properties>
</file>